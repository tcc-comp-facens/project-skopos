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as" sheetId="1" state="visible" r:id="rId3"/>
    <sheet name="Internações por Capítulo CID-10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<sst xmlns="http://schemas.openxmlformats.org/spreadsheetml/2006/main" count="42" uniqueCount="42">
  <si>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Internações Hospitalares (SIH/SUS) — Sorocaba/SP — 2015 a 2025</t>
  </si>
  <si>
    <t xml:space="preserve">Internações hospitalares no SUS ocorridas em estabelecimentos de Sorocaba, por ano de atendimento, segundo capítulo CID-10 do diagnóstico principal. Fonte: Sistema de Informações Hospitalares do SUS (SIH/SUS).</t>
  </si>
  <si>
    <t xml:space="preserve">Município: 355220 SOROCABA - SP (código IBGE 3552205)</t>
  </si>
  <si>
    <t xml:space="preserve">Período: 2015 a 2025</t>
  </si>
  <si>
    <t xml:space="preserve">Fonte: Ministério da Saúde / DATASUS - TabNet (tabnet.datasus.gov.br). Dados extraídos em 01/08/2026. Município: 355220 SOROCABA - SP. Dados de 2025 são preliminares (3a prévia, sujeitos a atualização).</t>
  </si>
  <si>
    <t xml:space="preserve">Internações por Capítulo CID-10</t>
  </si>
  <si>
    <t xml:space="preserve">Ano</t>
  </si>
  <si>
    <t xml:space="preserve">Cap01(Infecciosas)</t>
  </si>
  <si>
    <t xml:space="preserve">Cap02(Neoplasias)</t>
  </si>
  <si>
    <t xml:space="preserve">Cap03(Sangue)</t>
  </si>
  <si>
    <t xml:space="preserve">Cap04(Endocrinas)</t>
  </si>
  <si>
    <t xml:space="preserve">Cap05(Mentais)</t>
  </si>
  <si>
    <t xml:space="preserve">Cap06(Nervoso)</t>
  </si>
  <si>
    <t xml:space="preserve">Cap07(Olho)</t>
  </si>
  <si>
    <t xml:space="preserve">Cap08(Ouvido)</t>
  </si>
  <si>
    <t xml:space="preserve">Cap09(Circulatorio)</t>
  </si>
  <si>
    <t xml:space="preserve">Cap10(Respiratorio)</t>
  </si>
  <si>
    <t xml:space="preserve">Cap11(Digestivo)</t>
  </si>
  <si>
    <t xml:space="preserve">Cap12(Pele)</t>
  </si>
  <si>
    <t xml:space="preserve">Cap13(Osteomuscular)</t>
  </si>
  <si>
    <t xml:space="preserve">Cap14(Geniturinario)</t>
  </si>
  <si>
    <t xml:space="preserve">Cap15(GravidezParto)</t>
  </si>
  <si>
    <t xml:space="preserve">Cap16(Perinatal)</t>
  </si>
  <si>
    <t xml:space="preserve">Cap17(Malformacoes)</t>
  </si>
  <si>
    <t xml:space="preserve">Cap18(SintomasMalDefinidos)</t>
  </si>
  <si>
    <t xml:space="preserve">Cap19(LesoesEnvenenamentos)</t>
  </si>
  <si>
    <t xml:space="preserve">Cap20(CausasExternas)</t>
  </si>
  <si>
    <t xml:space="preserve">Cap21(ContatoServSaude)</t>
  </si>
  <si>
    <t xml:space="preserve">Total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</si>
  <si>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</si>
  <si>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</si>
  <si>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</si>
  <si>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</si>
  <si>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</si>
  <si>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</si>
  <si>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</si>
  <si>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</si>
  <si>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</si>
  <si>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</si>
  <si>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</si>
  <si>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TOTAL (soma das linhas)</t>
  </si>
  <si>
    <t xml:space="preserve">Fonte: Ministério da Saúde / DATASUS - TabNet (tabnet.datasus.gov.br). Dados extraídos em 01/08/2026. Município: 355220 SOROCABA - SP. Dados de 2025 são preliminares (3a prévia, sujeitos a atualização). Ano refere-se ao ano de atendimento (internação).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</si>
</sst>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3" customFormat="false" ht="39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39.75" hidden="false" customHeight="true" outlineLevel="0" collapsed="false">
      <c r="A7" s="4" t="s">
        <v>4</v>
      </c>
      <c r="B7" s="4"/>
      <c r="C7" s="4"/>
      <c r="D7" s="4"/>
      <c r="E7" s="4"/>
      <c r="F7" s="4"/>
      <c r="G7" s="4"/>
      <c r="H7" s="4"/>
    </row>
  </sheetData>
  <mergeCells count="2">
    <mergeCell ref="A3:H3"/>
    <mergeCell ref="A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7" min="5" style="0" width="16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2" min="10" style="0" width="16"/>
    <col collapsed="false" customWidth="true" hidden="false" outlineLevel="0" max="13" min="13" style="0" width="13"/>
    <col collapsed="false" customWidth="true" hidden="false" outlineLevel="0" max="22" min="14" style="0" width="16"/>
    <col collapsed="false" customWidth="true" hidden="false" outlineLevel="0" max="23" min="23" style="0" width="10"/>
  </cols>
  <sheetData>
    <row r="1" customFormat="false" ht="19.5" hidden="false" customHeight="true" outlineLevel="0" collapsed="false">
      <c r="A1" s="5" t="s">
        <v>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3" customFormat="false" ht="23.85" hidden="false" customHeight="false" outlineLevel="0" collapsed="false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14</v>
      </c>
      <c r="J3" s="6" t="s">
        <v>15</v>
      </c>
      <c r="K3" s="6" t="s">
        <v>16</v>
      </c>
      <c r="L3" s="6" t="s">
        <v>17</v>
      </c>
      <c r="M3" s="6" t="s">
        <v>18</v>
      </c>
      <c r="N3" s="6" t="s">
        <v>19</v>
      </c>
      <c r="O3" s="6" t="s">
        <v>20</v>
      </c>
      <c r="P3" s="6" t="s">
        <v>21</v>
      </c>
      <c r="Q3" s="6" t="s">
        <v>22</v>
      </c>
      <c r="R3" s="6" t="s">
        <v>23</v>
      </c>
      <c r="S3" s="6" t="s">
        <v>24</v>
      </c>
      <c r="T3" s="6" t="s">
        <v>25</v>
      </c>
      <c r="U3" s="6" t="s">
        <v>26</v>
      </c>
      <c r="V3" s="6" t="s">
        <v>27</v>
      </c>
      <c r="W3" s="6" t="s">
        <v>28</v>
      </c>
    </row>
    <row r="4" customFormat="false" ht="15" hidden="false" customHeight="false" outlineLevel="0" collapsed="false">
      <c r="A4" s="7" t="s">
        <v>29</v>
      </c>
      <c r="B4" s="8" t="n">
        <v>1451</v>
      </c>
      <c r="C4" s="8" t="n">
        <v>2812</v>
      </c>
      <c r="D4" s="8" t="n">
        <v>309</v>
      </c>
      <c r="E4" s="8" t="n">
        <v>427</v>
      </c>
      <c r="F4" s="8" t="n">
        <v>859</v>
      </c>
      <c r="G4" s="8" t="n">
        <v>415</v>
      </c>
      <c r="H4" s="8" t="n">
        <v>645</v>
      </c>
      <c r="I4" s="8" t="n">
        <v>78</v>
      </c>
      <c r="J4" s="8" t="n">
        <v>4306</v>
      </c>
      <c r="K4" s="8" t="n">
        <v>3269</v>
      </c>
      <c r="L4" s="8" t="n">
        <v>3545</v>
      </c>
      <c r="M4" s="8" t="n">
        <v>599</v>
      </c>
      <c r="N4" s="8" t="n">
        <v>604</v>
      </c>
      <c r="O4" s="8" t="n">
        <v>2421</v>
      </c>
      <c r="P4" s="8" t="n">
        <v>6626</v>
      </c>
      <c r="Q4" s="8" t="n">
        <v>922</v>
      </c>
      <c r="R4" s="8" t="n">
        <v>282</v>
      </c>
      <c r="S4" s="8" t="n">
        <v>391</v>
      </c>
      <c r="T4" s="8" t="n">
        <v>5573</v>
      </c>
      <c r="U4" s="8" t="n">
        <v>2</v>
      </c>
      <c r="V4" s="8" t="n">
        <v>285</v>
      </c>
      <c r="W4" s="8" t="n">
        <v>35821</v>
      </c>
    </row>
    <row r="5" customFormat="false" ht="15" hidden="false" customHeight="false" outlineLevel="0" collapsed="false">
      <c r="A5" s="7" t="s">
        <v>30</v>
      </c>
      <c r="B5" s="8" t="n">
        <v>697</v>
      </c>
      <c r="C5" s="8" t="n">
        <v>2732</v>
      </c>
      <c r="D5" s="8" t="n">
        <v>321</v>
      </c>
      <c r="E5" s="8" t="n">
        <v>371</v>
      </c>
      <c r="F5" s="8" t="n">
        <v>617</v>
      </c>
      <c r="G5" s="8" t="n">
        <v>476</v>
      </c>
      <c r="H5" s="8" t="n">
        <v>640</v>
      </c>
      <c r="I5" s="8" t="n">
        <v>76</v>
      </c>
      <c r="J5" s="8" t="n">
        <v>3806</v>
      </c>
      <c r="K5" s="8" t="n">
        <v>2943</v>
      </c>
      <c r="L5" s="8" t="n">
        <v>3021</v>
      </c>
      <c r="M5" s="8" t="n">
        <v>659</v>
      </c>
      <c r="N5" s="8" t="n">
        <v>536</v>
      </c>
      <c r="O5" s="8" t="n">
        <v>2251</v>
      </c>
      <c r="P5" s="8" t="n">
        <v>6733</v>
      </c>
      <c r="Q5" s="8" t="n">
        <v>1024</v>
      </c>
      <c r="R5" s="8" t="n">
        <v>291</v>
      </c>
      <c r="S5" s="8" t="n">
        <v>447</v>
      </c>
      <c r="T5" s="8" t="n">
        <v>5526</v>
      </c>
      <c r="U5" s="8" t="n">
        <v>0</v>
      </c>
      <c r="V5" s="8" t="n">
        <v>387</v>
      </c>
      <c r="W5" s="8" t="n">
        <v>33554</v>
      </c>
    </row>
    <row r="6" customFormat="false" ht="15" hidden="false" customHeight="false" outlineLevel="0" collapsed="false">
      <c r="A6" s="7" t="s">
        <v>31</v>
      </c>
      <c r="B6" s="8" t="n">
        <v>550</v>
      </c>
      <c r="C6" s="8" t="n">
        <v>2990</v>
      </c>
      <c r="D6" s="8" t="n">
        <v>349</v>
      </c>
      <c r="E6" s="8" t="n">
        <v>372</v>
      </c>
      <c r="F6" s="8" t="n">
        <v>574</v>
      </c>
      <c r="G6" s="8" t="n">
        <v>544</v>
      </c>
      <c r="H6" s="8" t="n">
        <v>633</v>
      </c>
      <c r="I6" s="8" t="n">
        <v>128</v>
      </c>
      <c r="J6" s="8" t="n">
        <v>4539</v>
      </c>
      <c r="K6" s="8" t="n">
        <v>3411</v>
      </c>
      <c r="L6" s="8" t="n">
        <v>3595</v>
      </c>
      <c r="M6" s="8" t="n">
        <v>724</v>
      </c>
      <c r="N6" s="8" t="n">
        <v>554</v>
      </c>
      <c r="O6" s="8" t="n">
        <v>2589</v>
      </c>
      <c r="P6" s="8" t="n">
        <v>7200</v>
      </c>
      <c r="Q6" s="8" t="n">
        <v>921</v>
      </c>
      <c r="R6" s="8" t="n">
        <v>302</v>
      </c>
      <c r="S6" s="8" t="n">
        <v>541</v>
      </c>
      <c r="T6" s="8" t="n">
        <v>4598</v>
      </c>
      <c r="U6" s="8" t="n">
        <v>0</v>
      </c>
      <c r="V6" s="8" t="n">
        <v>383</v>
      </c>
      <c r="W6" s="8" t="n">
        <v>35497</v>
      </c>
    </row>
    <row r="7" customFormat="false" ht="15" hidden="false" customHeight="false" outlineLevel="0" collapsed="false">
      <c r="A7" s="7" t="s">
        <v>32</v>
      </c>
      <c r="B7" s="8" t="n">
        <v>698</v>
      </c>
      <c r="C7" s="8" t="n">
        <v>3136</v>
      </c>
      <c r="D7" s="8" t="n">
        <v>413</v>
      </c>
      <c r="E7" s="8" t="n">
        <v>402</v>
      </c>
      <c r="F7" s="8" t="n">
        <v>594</v>
      </c>
      <c r="G7" s="8" t="n">
        <v>729</v>
      </c>
      <c r="H7" s="8" t="n">
        <v>391</v>
      </c>
      <c r="I7" s="8" t="n">
        <v>85</v>
      </c>
      <c r="J7" s="8" t="n">
        <v>6108</v>
      </c>
      <c r="K7" s="8" t="n">
        <v>3984</v>
      </c>
      <c r="L7" s="8" t="n">
        <v>4524</v>
      </c>
      <c r="M7" s="8" t="n">
        <v>852</v>
      </c>
      <c r="N7" s="8" t="n">
        <v>868</v>
      </c>
      <c r="O7" s="8" t="n">
        <v>3288</v>
      </c>
      <c r="P7" s="8" t="n">
        <v>7453</v>
      </c>
      <c r="Q7" s="8" t="n">
        <v>1394</v>
      </c>
      <c r="R7" s="8" t="n">
        <v>327</v>
      </c>
      <c r="S7" s="8" t="n">
        <v>525</v>
      </c>
      <c r="T7" s="8" t="n">
        <v>5237</v>
      </c>
      <c r="U7" s="8" t="n">
        <v>0</v>
      </c>
      <c r="V7" s="8" t="n">
        <v>1335</v>
      </c>
      <c r="W7" s="8" t="n">
        <v>42343</v>
      </c>
    </row>
    <row r="8" customFormat="false" ht="15" hidden="false" customHeight="false" outlineLevel="0" collapsed="false">
      <c r="A8" s="7" t="s">
        <v>33</v>
      </c>
      <c r="B8" s="8" t="n">
        <v>808</v>
      </c>
      <c r="C8" s="8" t="n">
        <v>3940</v>
      </c>
      <c r="D8" s="8" t="n">
        <v>402</v>
      </c>
      <c r="E8" s="8" t="n">
        <v>546</v>
      </c>
      <c r="F8" s="8" t="n">
        <v>649</v>
      </c>
      <c r="G8" s="8" t="n">
        <v>855</v>
      </c>
      <c r="H8" s="8" t="n">
        <v>937</v>
      </c>
      <c r="I8" s="8" t="n">
        <v>110</v>
      </c>
      <c r="J8" s="8" t="n">
        <v>6594</v>
      </c>
      <c r="K8" s="8" t="n">
        <v>5319</v>
      </c>
      <c r="L8" s="8" t="n">
        <v>7464</v>
      </c>
      <c r="M8" s="8" t="n">
        <v>1327</v>
      </c>
      <c r="N8" s="8" t="n">
        <v>1513</v>
      </c>
      <c r="O8" s="8" t="n">
        <v>4275</v>
      </c>
      <c r="P8" s="8" t="n">
        <v>7244</v>
      </c>
      <c r="Q8" s="8" t="n">
        <v>1593</v>
      </c>
      <c r="R8" s="8" t="n">
        <v>696</v>
      </c>
      <c r="S8" s="8" t="n">
        <v>529</v>
      </c>
      <c r="T8" s="8" t="n">
        <v>6604</v>
      </c>
      <c r="U8" s="8" t="n">
        <v>0</v>
      </c>
      <c r="V8" s="8" t="n">
        <v>836</v>
      </c>
      <c r="W8" s="8" t="n">
        <v>52241</v>
      </c>
    </row>
    <row r="9" customFormat="false" ht="15" hidden="false" customHeight="false" outlineLevel="0" collapsed="false">
      <c r="A9" s="7" t="s">
        <v>34</v>
      </c>
      <c r="B9" s="8" t="n">
        <v>2256</v>
      </c>
      <c r="C9" s="8" t="n">
        <v>3668</v>
      </c>
      <c r="D9" s="8" t="n">
        <v>351</v>
      </c>
      <c r="E9" s="8" t="n">
        <v>531</v>
      </c>
      <c r="F9" s="8" t="n">
        <v>526</v>
      </c>
      <c r="G9" s="8" t="n">
        <v>732</v>
      </c>
      <c r="H9" s="8" t="n">
        <v>1006</v>
      </c>
      <c r="I9" s="8" t="n">
        <v>91</v>
      </c>
      <c r="J9" s="8" t="n">
        <v>6200</v>
      </c>
      <c r="K9" s="8" t="n">
        <v>3773</v>
      </c>
      <c r="L9" s="8" t="n">
        <v>5594</v>
      </c>
      <c r="M9" s="8" t="n">
        <v>746</v>
      </c>
      <c r="N9" s="8" t="n">
        <v>753</v>
      </c>
      <c r="O9" s="8" t="n">
        <v>3426</v>
      </c>
      <c r="P9" s="8" t="n">
        <v>7338</v>
      </c>
      <c r="Q9" s="8" t="n">
        <v>1801</v>
      </c>
      <c r="R9" s="8" t="n">
        <v>462</v>
      </c>
      <c r="S9" s="8" t="n">
        <v>501</v>
      </c>
      <c r="T9" s="8" t="n">
        <v>6486</v>
      </c>
      <c r="U9" s="8" t="n">
        <v>0</v>
      </c>
      <c r="V9" s="8" t="n">
        <v>534</v>
      </c>
      <c r="W9" s="8" t="n">
        <v>46775</v>
      </c>
    </row>
    <row r="10" customFormat="false" ht="15" hidden="false" customHeight="false" outlineLevel="0" collapsed="false">
      <c r="A10" s="7" t="s">
        <v>35</v>
      </c>
      <c r="B10" s="8" t="n">
        <v>5458</v>
      </c>
      <c r="C10" s="8" t="n">
        <v>3485</v>
      </c>
      <c r="D10" s="8" t="n">
        <v>478</v>
      </c>
      <c r="E10" s="8" t="n">
        <v>587</v>
      </c>
      <c r="F10" s="8" t="n">
        <v>600</v>
      </c>
      <c r="G10" s="8" t="n">
        <v>646</v>
      </c>
      <c r="H10" s="8" t="n">
        <v>1168</v>
      </c>
      <c r="I10" s="8" t="n">
        <v>137</v>
      </c>
      <c r="J10" s="8" t="n">
        <v>6014</v>
      </c>
      <c r="K10" s="8" t="n">
        <v>3998</v>
      </c>
      <c r="L10" s="8" t="n">
        <v>5734</v>
      </c>
      <c r="M10" s="8" t="n">
        <v>800</v>
      </c>
      <c r="N10" s="8" t="n">
        <v>782</v>
      </c>
      <c r="O10" s="8" t="n">
        <v>3851</v>
      </c>
      <c r="P10" s="8" t="n">
        <v>7214</v>
      </c>
      <c r="Q10" s="8" t="n">
        <v>1852</v>
      </c>
      <c r="R10" s="8" t="n">
        <v>632</v>
      </c>
      <c r="S10" s="8" t="n">
        <v>437</v>
      </c>
      <c r="T10" s="8" t="n">
        <v>6566</v>
      </c>
      <c r="U10" s="8" t="n">
        <v>0</v>
      </c>
      <c r="V10" s="8" t="n">
        <v>450</v>
      </c>
      <c r="W10" s="8" t="n">
        <v>50889</v>
      </c>
    </row>
    <row r="11" customFormat="false" ht="15" hidden="false" customHeight="false" outlineLevel="0" collapsed="false">
      <c r="A11" s="7" t="s">
        <v>36</v>
      </c>
      <c r="B11" s="8" t="n">
        <v>1070</v>
      </c>
      <c r="C11" s="8" t="n">
        <v>4460</v>
      </c>
      <c r="D11" s="8" t="n">
        <v>572</v>
      </c>
      <c r="E11" s="8" t="n">
        <v>604</v>
      </c>
      <c r="F11" s="8" t="n">
        <v>649</v>
      </c>
      <c r="G11" s="8" t="n">
        <v>889</v>
      </c>
      <c r="H11" s="8" t="n">
        <v>1219</v>
      </c>
      <c r="I11" s="8" t="n">
        <v>159</v>
      </c>
      <c r="J11" s="8" t="n">
        <v>6982</v>
      </c>
      <c r="K11" s="8" t="n">
        <v>4555</v>
      </c>
      <c r="L11" s="8" t="n">
        <v>6224</v>
      </c>
      <c r="M11" s="8" t="n">
        <v>853</v>
      </c>
      <c r="N11" s="8" t="n">
        <v>1265</v>
      </c>
      <c r="O11" s="8" t="n">
        <v>4361</v>
      </c>
      <c r="P11" s="8" t="n">
        <v>7702</v>
      </c>
      <c r="Q11" s="8" t="n">
        <v>1847</v>
      </c>
      <c r="R11" s="8" t="n">
        <v>622</v>
      </c>
      <c r="S11" s="8" t="n">
        <v>447</v>
      </c>
      <c r="T11" s="8" t="n">
        <v>6862</v>
      </c>
      <c r="U11" s="8" t="n">
        <v>0</v>
      </c>
      <c r="V11" s="8" t="n">
        <v>728</v>
      </c>
      <c r="W11" s="8" t="n">
        <v>52070</v>
      </c>
    </row>
    <row r="12" customFormat="false" ht="15" hidden="false" customHeight="false" outlineLevel="0" collapsed="false">
      <c r="A12" s="7" t="s">
        <v>37</v>
      </c>
      <c r="B12" s="8" t="n">
        <v>836</v>
      </c>
      <c r="C12" s="8" t="n">
        <v>5620</v>
      </c>
      <c r="D12" s="8" t="n">
        <v>588</v>
      </c>
      <c r="E12" s="8" t="n">
        <v>623</v>
      </c>
      <c r="F12" s="8" t="n">
        <v>668</v>
      </c>
      <c r="G12" s="8" t="n">
        <v>884</v>
      </c>
      <c r="H12" s="8" t="n">
        <v>1349</v>
      </c>
      <c r="I12" s="8" t="n">
        <v>153</v>
      </c>
      <c r="J12" s="8" t="n">
        <v>7414</v>
      </c>
      <c r="K12" s="8" t="n">
        <v>4819</v>
      </c>
      <c r="L12" s="8" t="n">
        <v>6691</v>
      </c>
      <c r="M12" s="8" t="n">
        <v>1141</v>
      </c>
      <c r="N12" s="8" t="n">
        <v>1283</v>
      </c>
      <c r="O12" s="8" t="n">
        <v>4572</v>
      </c>
      <c r="P12" s="8" t="n">
        <v>7582</v>
      </c>
      <c r="Q12" s="8" t="n">
        <v>1793</v>
      </c>
      <c r="R12" s="8" t="n">
        <v>610</v>
      </c>
      <c r="S12" s="8" t="n">
        <v>656</v>
      </c>
      <c r="T12" s="8" t="n">
        <v>7140</v>
      </c>
      <c r="U12" s="8" t="n">
        <v>0</v>
      </c>
      <c r="V12" s="8" t="n">
        <v>820</v>
      </c>
      <c r="W12" s="8" t="n">
        <v>55242</v>
      </c>
    </row>
    <row r="13" customFormat="false" ht="15" hidden="false" customHeight="false" outlineLevel="0" collapsed="false">
      <c r="A13" s="7" t="s">
        <v>38</v>
      </c>
      <c r="B13" s="8" t="n">
        <v>1262</v>
      </c>
      <c r="C13" s="8" t="n">
        <v>5891</v>
      </c>
      <c r="D13" s="8" t="n">
        <v>586</v>
      </c>
      <c r="E13" s="8" t="n">
        <v>842</v>
      </c>
      <c r="F13" s="8" t="n">
        <v>644</v>
      </c>
      <c r="G13" s="8" t="n">
        <v>960</v>
      </c>
      <c r="H13" s="8" t="n">
        <v>1271</v>
      </c>
      <c r="I13" s="8" t="n">
        <v>177</v>
      </c>
      <c r="J13" s="8" t="n">
        <v>7855</v>
      </c>
      <c r="K13" s="8" t="n">
        <v>5205</v>
      </c>
      <c r="L13" s="8" t="n">
        <v>7243</v>
      </c>
      <c r="M13" s="8" t="n">
        <v>1497</v>
      </c>
      <c r="N13" s="8" t="n">
        <v>1241</v>
      </c>
      <c r="O13" s="8" t="n">
        <v>4892</v>
      </c>
      <c r="P13" s="8" t="n">
        <v>7623</v>
      </c>
      <c r="Q13" s="8" t="n">
        <v>1595</v>
      </c>
      <c r="R13" s="8" t="n">
        <v>589</v>
      </c>
      <c r="S13" s="8" t="n">
        <v>820</v>
      </c>
      <c r="T13" s="8" t="n">
        <v>7347</v>
      </c>
      <c r="U13" s="8" t="n">
        <v>0</v>
      </c>
      <c r="V13" s="8" t="n">
        <v>1042</v>
      </c>
      <c r="W13" s="8" t="n">
        <v>58582</v>
      </c>
    </row>
    <row r="14" customFormat="false" ht="15" hidden="false" customHeight="false" outlineLevel="0" collapsed="false">
      <c r="A14" s="7" t="s">
        <v>39</v>
      </c>
      <c r="B14" s="8" t="n">
        <v>1486</v>
      </c>
      <c r="C14" s="8" t="n">
        <v>6168</v>
      </c>
      <c r="D14" s="8" t="n">
        <v>637</v>
      </c>
      <c r="E14" s="8" t="n">
        <v>743</v>
      </c>
      <c r="F14" s="8" t="n">
        <v>617</v>
      </c>
      <c r="G14" s="8" t="n">
        <v>891</v>
      </c>
      <c r="H14" s="8" t="n">
        <v>1299</v>
      </c>
      <c r="I14" s="8" t="n">
        <v>192</v>
      </c>
      <c r="J14" s="8" t="n">
        <v>8233</v>
      </c>
      <c r="K14" s="8" t="n">
        <v>5103</v>
      </c>
      <c r="L14" s="8" t="n">
        <v>7968</v>
      </c>
      <c r="M14" s="8" t="n">
        <v>1406</v>
      </c>
      <c r="N14" s="8" t="n">
        <v>1474</v>
      </c>
      <c r="O14" s="8" t="n">
        <v>5417</v>
      </c>
      <c r="P14" s="8" t="n">
        <v>7882</v>
      </c>
      <c r="Q14" s="8" t="n">
        <v>1332</v>
      </c>
      <c r="R14" s="8" t="n">
        <v>613</v>
      </c>
      <c r="S14" s="8" t="n">
        <v>994</v>
      </c>
      <c r="T14" s="8" t="n">
        <v>7607</v>
      </c>
      <c r="U14" s="8" t="n">
        <v>0</v>
      </c>
      <c r="V14" s="8" t="n">
        <v>906</v>
      </c>
      <c r="W14" s="8" t="n">
        <v>60968</v>
      </c>
    </row>
    <row r="15" customFormat="false" ht="15" hidden="false" customHeight="false" outlineLevel="0" collapsed="false">
      <c r="A15" s="9" t="s">
        <v>40</v>
      </c>
      <c r="B15" s="10" t="n">
        <f aca="false">SUM(B4:B14)</f>
        <v>16572</v>
      </c>
      <c r="C15" s="10" t="n">
        <f aca="false">SUM(C4:C14)</f>
        <v>44902</v>
      </c>
      <c r="D15" s="10" t="n">
        <f aca="false">SUM(D4:D14)</f>
        <v>5006</v>
      </c>
      <c r="E15" s="10" t="n">
        <f aca="false">SUM(E4:E14)</f>
        <v>6048</v>
      </c>
      <c r="F15" s="10" t="n">
        <f aca="false">SUM(F4:F14)</f>
        <v>6997</v>
      </c>
      <c r="G15" s="10" t="n">
        <f aca="false">SUM(G4:G14)</f>
        <v>8021</v>
      </c>
      <c r="H15" s="10" t="n">
        <f aca="false">SUM(H4:H14)</f>
        <v>10558</v>
      </c>
      <c r="I15" s="10" t="n">
        <f aca="false">SUM(I4:I14)</f>
        <v>1386</v>
      </c>
      <c r="J15" s="10" t="n">
        <f aca="false">SUM(J4:J14)</f>
        <v>68051</v>
      </c>
      <c r="K15" s="10" t="n">
        <f aca="false">SUM(K4:K14)</f>
        <v>46379</v>
      </c>
      <c r="L15" s="10" t="n">
        <f aca="false">SUM(L4:L14)</f>
        <v>61603</v>
      </c>
      <c r="M15" s="10" t="n">
        <f aca="false">SUM(M4:M14)</f>
        <v>10604</v>
      </c>
      <c r="N15" s="10" t="n">
        <f aca="false">SUM(N4:N14)</f>
        <v>10873</v>
      </c>
      <c r="O15" s="10" t="n">
        <f aca="false">SUM(O4:O14)</f>
        <v>41343</v>
      </c>
      <c r="P15" s="10" t="n">
        <f aca="false">SUM(P4:P14)</f>
        <v>80597</v>
      </c>
      <c r="Q15" s="10" t="n">
        <f aca="false">SUM(Q4:Q14)</f>
        <v>16074</v>
      </c>
      <c r="R15" s="10" t="n">
        <f aca="false">SUM(R4:R14)</f>
        <v>5426</v>
      </c>
      <c r="S15" s="10" t="n">
        <f aca="false">SUM(S4:S14)</f>
        <v>6288</v>
      </c>
      <c r="T15" s="10" t="n">
        <f aca="false">SUM(T4:T14)</f>
        <v>69546</v>
      </c>
      <c r="U15" s="10" t="n">
        <f aca="false">SUM(U4:U14)</f>
        <v>2</v>
      </c>
      <c r="V15" s="10" t="n">
        <f aca="false">SUM(V4:V14)</f>
        <v>7706</v>
      </c>
      <c r="W15" s="10" t="n">
        <f aca="false">SUM(W4:W14)</f>
        <v>523982</v>
      </c>
    </row>
    <row r="17" customFormat="false" ht="30" hidden="false" customHeight="true" outlineLevel="0" collapsed="false">
      <c r="A17" s="11" t="s">
        <v>41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</sheetData>
  <mergeCells count="2">
    <mergeCell ref="A1:W1"/>
    <mergeCell ref="A17:W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2026-08-02T00:12:02Z</dcterms:created>
  <dc:creator>openpyxl</dc:creator>
  <dc:description/>
  <dc:language>en-US</dc:language>
  <cp:lastModifiedBy/>
  <dcterms:modified xsi:type="dcterms:W3CDTF">2026-08-02T00:12:02Z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