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  <sheet name="COVID Casos-Obitos Anual" sheetId="2" state="visible" r:id="rId4"/>
    <sheet name="COVID Casos-Obitos Mens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<sst xmlns="http://schemas.openxmlformats.org/spreadsheetml/2006/main" count="66" uniqueCount="63">
  <si>
    <t xml:space="preserve">COVID-19 — Casos e Óbitos Confirmados — Sorocaba/SP — 2020 a 2023 (série diária/mensal oficial)</t>
  </si>
  <si>
    <t xml:space="preserve">Casos e óbitos confirmados de COVID-19 em Sorocaba, por mês e por ano, a partir da série histórica oficial do Ministério da Saúde (boletins diários do painel coronavirus, covid.saude.gov.br), compilada e disponibilizada publicamente pelo projeto wcota/covid19br (mantido por pesquisador da UFV com dados oficiais do MS).</t>
  </si>
  <si>
    <t xml:space="preserve">Município: 355220 SOROCABA - SP (código IBGE 3552205)</t>
  </si>
  <si>
    <t xml:space="preserve">Fontes: Ministério da Saúde (covid.saude.gov.br) e projeto wcota/covid19br (dados oficiais do MS compilados por município). Dados extraídos em 01/08/2026. Município: 355220 SOROCABA - SP.</t>
  </si>
  <si>
    <t xml:space="preserve">Observações importantes:</t>
  </si>
  <si>
    <t xml:space="preserve">• IMPORTANTE — período coberto: a pandemia de COVID-19 só foi identificada no Brasil em fevereiro/2020, então não há dados de 2015-2019 (não é falha de extração — a doença não existia). O primeiro caso confirmado em Sorocaba nesta série é de 27/03/2020.</t>
  </si>
  <si>
    <t xml:space="preserve">• IMPORTANTE — a série termina em março/2023: o Ministério da Saúde alterou a metodologia de atualização do painel oficial (covid.saude.gov.br) para periodicidade semanal a partir de 18/03/2023, o que descontinuou a série diária por município usada nesta compilação (nota oficial do MS: gov.br/saude, fevereiro/2023). Não há uma série diária/mensal por município oficial e publicamente reconstruível após essa data.</t>
  </si>
  <si>
    <t xml:space="preserve">• Dado de referência (não incluído nas séries acima por ser apenas um snapshot pontual, sem quebra por período): o painel oficial covid.saude.gov.br (API PortalMunicipio) registra, na atualização de 08/09/2025 (a mais recente disponível), um total acumulado de 116.952 casos confirmados e 3.320 óbitos por COVID-19 em Sorocaba desde o início da pandemia. A diferença em relação ao acumulado de mar/2023 (111.410 casos / 3.240 óbitos) nesta planilha reflete tanto a continuidade da pandemia após mar/2023 quanto possíveis revisões/consolidações de dados feitas pelo MS após aquela data.</t>
  </si>
  <si>
    <t xml:space="preserve">• Os valores 'Acumulado' de cada linha (mensal ou anual) representam o total acumulado desde o início da pandemia até o fim daquele período — não são valores exclusivos do período e não devem ser somados com os de outros períodos.</t>
  </si>
  <si>
    <t xml:space="preserve">COVID Casos-Obitos Anual</t>
  </si>
  <si>
    <t xml:space="preserve">Ano</t>
  </si>
  <si>
    <t xml:space="preserve">Casos_Novos</t>
  </si>
  <si>
    <t xml:space="preserve">Obitos_Novos</t>
  </si>
  <si>
    <t xml:space="preserve">Casos_Acumulado_Fim_Ano</t>
  </si>
  <si>
    <t xml:space="preserve">Obitos_Acumulado_Fim_Ano</t>
  </si>
  <si>
    <t xml:space="preserve">2020</t>
  </si>
  <si>
    <t xml:space="preserve">2021</t>
  </si>
  <si>
    <t xml:space="preserve">2022</t>
  </si>
  <si>
    <t xml:space="preserve">2023</t>
  </si>
  <si>
    <t xml:space="preserve">TOTAL (soma - nao usar p/ acumulados)</t>
  </si>
  <si>
    <t xml:space="preserve">Fontes: Ministério da Saúde (covid.saude.gov.br) e projeto wcota/covid19br (dados oficiais do MS compilados por município). Dados extraídos em 01/08/2026. Município: 355220 SOROCABA - SP. Casos_Novos e Obitos_Novos = soma de casos/obitos divulgados no ano. Casos_Acumulado_Fim_Ano e Obitos_Acumulado_Fim_Ano = valores acumulados (desde o inicio da pandemia) no ultimo boletim disponivel de cada ano - NAO devem ser somados entre anos (a linha TOTAL desta coluna nao tem significado epidemiologico, ignorar).</t>
  </si>
  <si>
    <t xml:space="preserve">COVID Casos-Obitos Mensal</t>
  </si>
  <si>
    <t xml:space="preserve">Ano_Mes</t>
  </si>
  <si>
    <t xml:space="preserve">Casos_Acumulado_Fim_Mes</t>
  </si>
  <si>
    <t xml:space="preserve">Obitos_Acumulado_Fim_Mes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</si>
  <si>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</si>
  <si>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</si>
  <si>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</si>
  <si>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</si>
  <si>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</si>
  <si>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</si>
  <si>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</si>
  <si>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</si>
  <si>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</si>
  <si>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</si>
  <si>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</si>
  <si>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</si>
  <si>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</si>
  <si>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</si>
  <si>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</si>
  <si>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</si>
  <si>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</si>
  <si>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</si>
  <si>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</si>
  <si>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</si>
  <si>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</si>
  <si>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</si>
  <si>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</si>
  <si>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</si>
  <si>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</si>
  <si>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</si>
  <si>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</si>
  <si>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</si>
  <si>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</si>
  <si>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</si>
  <si>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</si>
  <si>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</si>
  <si>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</si>
  <si>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</si>
  <si>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</si>
  <si>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</si>
  <si>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</si>
  <si>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Fontes: Ministério da Saúde (covid.saude.gov.br) e projeto wcota/covid19br (dados oficiais do MS compilados por município). Dados extraídos em 01/08/2026. Município: 355220 SOROCABA - SP. Casos_Novos e Obitos_Novos = soma de casos/obitos divulgados no mes. Casos_Acumulado_Fim_Mes e Obitos_Acumulado_Fim_Mes = valores acumulados no ultimo boletim disponivel do mes - NAO devem ser somados entre meses (a linha TOTAL desta coluna nao tem significado epidemiologico, ignorar).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</si>
</sst>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26.8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2</v>
      </c>
    </row>
    <row r="6" customFormat="false" ht="23.85" hidden="false" customHeight="true" outlineLevel="0" collapsed="false">
      <c r="A6" s="4" t="s">
        <v>3</v>
      </c>
      <c r="B6" s="4"/>
      <c r="C6" s="4"/>
      <c r="D6" s="4"/>
      <c r="E6" s="4"/>
      <c r="F6" s="4"/>
      <c r="G6" s="4"/>
      <c r="H6" s="4"/>
    </row>
    <row r="8" customFormat="false" ht="15" hidden="false" customHeight="false" outlineLevel="0" collapsed="false">
      <c r="A8" s="5" t="s">
        <v>4</v>
      </c>
    </row>
    <row r="9" customFormat="false" ht="27.75" hidden="false" customHeight="true" outlineLevel="0" collapsed="false">
      <c r="A9" s="6" t="s">
        <v>5</v>
      </c>
      <c r="B9" s="6"/>
      <c r="C9" s="6"/>
      <c r="D9" s="6"/>
      <c r="E9" s="6"/>
      <c r="F9" s="6"/>
      <c r="G9" s="6"/>
      <c r="H9" s="6"/>
    </row>
    <row r="10" customFormat="false" ht="27.75" hidden="false" customHeight="true" outlineLevel="0" collapsed="false">
      <c r="A10" s="6" t="s">
        <v>6</v>
      </c>
      <c r="B10" s="6"/>
      <c r="C10" s="6"/>
      <c r="D10" s="6"/>
      <c r="E10" s="6"/>
      <c r="F10" s="6"/>
      <c r="G10" s="6"/>
      <c r="H10" s="6"/>
    </row>
    <row r="11" customFormat="false" ht="27.75" hidden="false" customHeight="true" outlineLevel="0" collapsed="false">
      <c r="A11" s="6" t="s">
        <v>7</v>
      </c>
      <c r="B11" s="6"/>
      <c r="C11" s="6"/>
      <c r="D11" s="6"/>
      <c r="E11" s="6"/>
      <c r="F11" s="6"/>
      <c r="G11" s="6"/>
      <c r="H11" s="6"/>
    </row>
    <row r="12" customFormat="false" ht="27.75" hidden="false" customHeight="true" outlineLevel="0" collapsed="false">
      <c r="A12" s="6" t="s">
        <v>8</v>
      </c>
      <c r="B12" s="6"/>
      <c r="C12" s="6"/>
      <c r="D12" s="6"/>
      <c r="E12" s="6"/>
      <c r="F12" s="6"/>
      <c r="G12" s="6"/>
      <c r="H12" s="6"/>
    </row>
  </sheetData>
  <mergeCells count="6">
    <mergeCell ref="A3:H3"/>
    <mergeCell ref="A6:H6"/>
    <mergeCell ref="A9:H9"/>
    <mergeCell ref="A10:H10"/>
    <mergeCell ref="A11:H1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18"/>
  </cols>
  <sheetData>
    <row r="1" customFormat="false" ht="19.5" hidden="false" customHeight="true" outlineLevel="0" collapsed="false">
      <c r="A1" s="7" t="s">
        <v>9</v>
      </c>
      <c r="B1" s="7"/>
      <c r="C1" s="7"/>
      <c r="D1" s="7"/>
      <c r="E1" s="7"/>
    </row>
    <row r="3" customFormat="false" ht="23.85" hidden="false" customHeight="false" outlineLevel="0" collapsed="false">
      <c r="A3" s="8" t="s">
        <v>10</v>
      </c>
      <c r="B3" s="8" t="s">
        <v>11</v>
      </c>
      <c r="C3" s="8" t="s">
        <v>12</v>
      </c>
      <c r="D3" s="8" t="s">
        <v>13</v>
      </c>
      <c r="E3" s="8" t="s">
        <v>14</v>
      </c>
    </row>
    <row r="4" customFormat="false" ht="15" hidden="false" customHeight="false" outlineLevel="0" collapsed="false">
      <c r="A4" s="9" t="s">
        <v>15</v>
      </c>
      <c r="B4" s="10" t="n">
        <v>23030</v>
      </c>
      <c r="C4" s="10" t="n">
        <v>563</v>
      </c>
      <c r="D4" s="10" t="n">
        <v>23030</v>
      </c>
      <c r="E4" s="10" t="n">
        <v>563</v>
      </c>
    </row>
    <row r="5" customFormat="false" ht="15" hidden="false" customHeight="false" outlineLevel="0" collapsed="false">
      <c r="A5" s="9" t="s">
        <v>16</v>
      </c>
      <c r="B5" s="10" t="n">
        <v>54647</v>
      </c>
      <c r="C5" s="10" t="n">
        <v>2308</v>
      </c>
      <c r="D5" s="10" t="n">
        <v>77677</v>
      </c>
      <c r="E5" s="10" t="n">
        <v>2871</v>
      </c>
    </row>
    <row r="6" customFormat="false" ht="15" hidden="false" customHeight="false" outlineLevel="0" collapsed="false">
      <c r="A6" s="9" t="s">
        <v>17</v>
      </c>
      <c r="B6" s="10" t="n">
        <v>31375</v>
      </c>
      <c r="C6" s="10" t="n">
        <v>349</v>
      </c>
      <c r="D6" s="10" t="n">
        <v>109052</v>
      </c>
      <c r="E6" s="10" t="n">
        <v>3220</v>
      </c>
    </row>
    <row r="7" customFormat="false" ht="15" hidden="false" customHeight="false" outlineLevel="0" collapsed="false">
      <c r="A7" s="9" t="s">
        <v>18</v>
      </c>
      <c r="B7" s="10" t="n">
        <v>2358</v>
      </c>
      <c r="C7" s="10" t="n">
        <v>20</v>
      </c>
      <c r="D7" s="10" t="n">
        <v>111410</v>
      </c>
      <c r="E7" s="10" t="n">
        <v>3240</v>
      </c>
    </row>
    <row r="8" customFormat="false" ht="15" hidden="false" customHeight="false" outlineLevel="0" collapsed="false">
      <c r="A8" s="11" t="s">
        <v>19</v>
      </c>
      <c r="B8" s="12" t="n">
        <f aca="false">SUM(B4:B7)</f>
        <v>111410</v>
      </c>
      <c r="C8" s="12" t="n">
        <f aca="false">SUM(C4:C7)</f>
        <v>3240</v>
      </c>
      <c r="D8" s="12" t="n">
        <f aca="false">SUM(D4:D7)</f>
        <v>321169</v>
      </c>
      <c r="E8" s="12" t="n">
        <f aca="false">SUM(E4:E7)</f>
        <v>9894</v>
      </c>
    </row>
    <row r="10" customFormat="false" ht="30" hidden="false" customHeight="true" outlineLevel="0" collapsed="false">
      <c r="A10" s="13" t="s">
        <v>20</v>
      </c>
      <c r="B10" s="13"/>
      <c r="C10" s="13"/>
      <c r="D10" s="13"/>
      <c r="E10" s="13"/>
    </row>
  </sheetData>
  <mergeCells count="2">
    <mergeCell ref="A1:E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18"/>
  </cols>
  <sheetData>
    <row r="1" customFormat="false" ht="19.5" hidden="false" customHeight="true" outlineLevel="0" collapsed="false">
      <c r="A1" s="7" t="s">
        <v>21</v>
      </c>
      <c r="B1" s="7"/>
      <c r="C1" s="7"/>
      <c r="D1" s="7"/>
      <c r="E1" s="7"/>
    </row>
    <row r="3" customFormat="false" ht="23.85" hidden="false" customHeight="false" outlineLevel="0" collapsed="false">
      <c r="A3" s="8" t="s">
        <v>22</v>
      </c>
      <c r="B3" s="8" t="s">
        <v>11</v>
      </c>
      <c r="C3" s="8" t="s">
        <v>12</v>
      </c>
      <c r="D3" s="8" t="s">
        <v>23</v>
      </c>
      <c r="E3" s="8" t="s">
        <v>24</v>
      </c>
    </row>
    <row r="4" customFormat="false" ht="15" hidden="false" customHeight="false" outlineLevel="0" collapsed="false">
      <c r="A4" s="9" t="s">
        <v>25</v>
      </c>
      <c r="B4" s="10" t="n">
        <v>3</v>
      </c>
      <c r="C4" s="10" t="n">
        <v>1</v>
      </c>
      <c r="D4" s="10" t="n">
        <v>3</v>
      </c>
      <c r="E4" s="10" t="n">
        <v>1</v>
      </c>
    </row>
    <row r="5" customFormat="false" ht="15" hidden="false" customHeight="false" outlineLevel="0" collapsed="false">
      <c r="A5" s="9" t="s">
        <v>26</v>
      </c>
      <c r="B5" s="10" t="n">
        <v>123</v>
      </c>
      <c r="C5" s="10" t="n">
        <v>20</v>
      </c>
      <c r="D5" s="10" t="n">
        <v>126</v>
      </c>
      <c r="E5" s="10" t="n">
        <v>21</v>
      </c>
    </row>
    <row r="6" customFormat="false" ht="15" hidden="false" customHeight="false" outlineLevel="0" collapsed="false">
      <c r="A6" s="9" t="s">
        <v>27</v>
      </c>
      <c r="B6" s="10" t="n">
        <v>794</v>
      </c>
      <c r="C6" s="10" t="n">
        <v>23</v>
      </c>
      <c r="D6" s="10" t="n">
        <v>920</v>
      </c>
      <c r="E6" s="10" t="n">
        <v>44</v>
      </c>
    </row>
    <row r="7" customFormat="false" ht="15" hidden="false" customHeight="false" outlineLevel="0" collapsed="false">
      <c r="A7" s="9" t="s">
        <v>28</v>
      </c>
      <c r="B7" s="10" t="n">
        <v>3380</v>
      </c>
      <c r="C7" s="10" t="n">
        <v>78</v>
      </c>
      <c r="D7" s="10" t="n">
        <v>4300</v>
      </c>
      <c r="E7" s="10" t="n">
        <v>122</v>
      </c>
    </row>
    <row r="8" customFormat="false" ht="15" hidden="false" customHeight="false" outlineLevel="0" collapsed="false">
      <c r="A8" s="9" t="s">
        <v>29</v>
      </c>
      <c r="B8" s="10" t="n">
        <v>5231</v>
      </c>
      <c r="C8" s="10" t="n">
        <v>129</v>
      </c>
      <c r="D8" s="10" t="n">
        <v>9531</v>
      </c>
      <c r="E8" s="10" t="n">
        <v>251</v>
      </c>
    </row>
    <row r="9" customFormat="false" ht="15" hidden="false" customHeight="false" outlineLevel="0" collapsed="false">
      <c r="A9" s="9" t="s">
        <v>30</v>
      </c>
      <c r="B9" s="10" t="n">
        <v>3673</v>
      </c>
      <c r="C9" s="10" t="n">
        <v>92</v>
      </c>
      <c r="D9" s="10" t="n">
        <v>13204</v>
      </c>
      <c r="E9" s="10" t="n">
        <v>343</v>
      </c>
    </row>
    <row r="10" customFormat="false" ht="15" hidden="false" customHeight="false" outlineLevel="0" collapsed="false">
      <c r="A10" s="9" t="s">
        <v>31</v>
      </c>
      <c r="B10" s="10" t="n">
        <v>2431</v>
      </c>
      <c r="C10" s="10" t="n">
        <v>53</v>
      </c>
      <c r="D10" s="10" t="n">
        <v>15635</v>
      </c>
      <c r="E10" s="10" t="n">
        <v>396</v>
      </c>
    </row>
    <row r="11" customFormat="false" ht="15" hidden="false" customHeight="false" outlineLevel="0" collapsed="false">
      <c r="A11" s="9" t="s">
        <v>32</v>
      </c>
      <c r="B11" s="10" t="n">
        <v>1940</v>
      </c>
      <c r="C11" s="10" t="n">
        <v>39</v>
      </c>
      <c r="D11" s="10" t="n">
        <v>17575</v>
      </c>
      <c r="E11" s="10" t="n">
        <v>435</v>
      </c>
    </row>
    <row r="12" customFormat="false" ht="15" hidden="false" customHeight="false" outlineLevel="0" collapsed="false">
      <c r="A12" s="9" t="s">
        <v>33</v>
      </c>
      <c r="B12" s="10" t="n">
        <v>2008</v>
      </c>
      <c r="C12" s="10" t="n">
        <v>50</v>
      </c>
      <c r="D12" s="10" t="n">
        <v>19583</v>
      </c>
      <c r="E12" s="10" t="n">
        <v>485</v>
      </c>
    </row>
    <row r="13" customFormat="false" ht="15" hidden="false" customHeight="false" outlineLevel="0" collapsed="false">
      <c r="A13" s="9" t="s">
        <v>34</v>
      </c>
      <c r="B13" s="10" t="n">
        <v>3447</v>
      </c>
      <c r="C13" s="10" t="n">
        <v>78</v>
      </c>
      <c r="D13" s="10" t="n">
        <v>23030</v>
      </c>
      <c r="E13" s="10" t="n">
        <v>563</v>
      </c>
    </row>
    <row r="14" customFormat="false" ht="15" hidden="false" customHeight="false" outlineLevel="0" collapsed="false">
      <c r="A14" s="9" t="s">
        <v>35</v>
      </c>
      <c r="B14" s="10" t="n">
        <v>4669</v>
      </c>
      <c r="C14" s="10" t="n">
        <v>82</v>
      </c>
      <c r="D14" s="10" t="n">
        <v>27699</v>
      </c>
      <c r="E14" s="10" t="n">
        <v>645</v>
      </c>
    </row>
    <row r="15" customFormat="false" ht="15" hidden="false" customHeight="false" outlineLevel="0" collapsed="false">
      <c r="A15" s="9" t="s">
        <v>36</v>
      </c>
      <c r="B15" s="10" t="n">
        <v>4043</v>
      </c>
      <c r="C15" s="10" t="n">
        <v>112</v>
      </c>
      <c r="D15" s="10" t="n">
        <v>31742</v>
      </c>
      <c r="E15" s="10" t="n">
        <v>757</v>
      </c>
    </row>
    <row r="16" customFormat="false" ht="15" hidden="false" customHeight="false" outlineLevel="0" collapsed="false">
      <c r="A16" s="9" t="s">
        <v>37</v>
      </c>
      <c r="B16" s="10" t="n">
        <v>7003</v>
      </c>
      <c r="C16" s="10" t="n">
        <v>318</v>
      </c>
      <c r="D16" s="10" t="n">
        <v>38745</v>
      </c>
      <c r="E16" s="10" t="n">
        <v>1075</v>
      </c>
    </row>
    <row r="17" customFormat="false" ht="15" hidden="false" customHeight="false" outlineLevel="0" collapsed="false">
      <c r="A17" s="9" t="s">
        <v>38</v>
      </c>
      <c r="B17" s="10" t="n">
        <v>9599</v>
      </c>
      <c r="C17" s="10" t="n">
        <v>545</v>
      </c>
      <c r="D17" s="10" t="n">
        <v>48344</v>
      </c>
      <c r="E17" s="10" t="n">
        <v>1620</v>
      </c>
    </row>
    <row r="18" customFormat="false" ht="15" hidden="false" customHeight="false" outlineLevel="0" collapsed="false">
      <c r="A18" s="9" t="s">
        <v>39</v>
      </c>
      <c r="B18" s="10" t="n">
        <v>6375</v>
      </c>
      <c r="C18" s="10" t="n">
        <v>281</v>
      </c>
      <c r="D18" s="10" t="n">
        <v>54719</v>
      </c>
      <c r="E18" s="10" t="n">
        <v>1901</v>
      </c>
    </row>
    <row r="19" customFormat="false" ht="15" hidden="false" customHeight="false" outlineLevel="0" collapsed="false">
      <c r="A19" s="9" t="s">
        <v>40</v>
      </c>
      <c r="B19" s="10" t="n">
        <v>10085</v>
      </c>
      <c r="C19" s="10" t="n">
        <v>429</v>
      </c>
      <c r="D19" s="10" t="n">
        <v>64804</v>
      </c>
      <c r="E19" s="10" t="n">
        <v>2330</v>
      </c>
    </row>
    <row r="20" customFormat="false" ht="15" hidden="false" customHeight="false" outlineLevel="0" collapsed="false">
      <c r="A20" s="9" t="s">
        <v>41</v>
      </c>
      <c r="B20" s="10" t="n">
        <v>6727</v>
      </c>
      <c r="C20" s="10" t="n">
        <v>330</v>
      </c>
      <c r="D20" s="10" t="n">
        <v>71531</v>
      </c>
      <c r="E20" s="10" t="n">
        <v>2660</v>
      </c>
    </row>
    <row r="21" customFormat="false" ht="15" hidden="false" customHeight="false" outlineLevel="0" collapsed="false">
      <c r="A21" s="9" t="s">
        <v>42</v>
      </c>
      <c r="B21" s="10" t="n">
        <v>3880</v>
      </c>
      <c r="C21" s="10" t="n">
        <v>121</v>
      </c>
      <c r="D21" s="10" t="n">
        <v>75411</v>
      </c>
      <c r="E21" s="10" t="n">
        <v>2781</v>
      </c>
    </row>
    <row r="22" customFormat="false" ht="15" hidden="false" customHeight="false" outlineLevel="0" collapsed="false">
      <c r="A22" s="9" t="s">
        <v>43</v>
      </c>
      <c r="B22" s="10" t="n">
        <v>1646</v>
      </c>
      <c r="C22" s="10" t="n">
        <v>39</v>
      </c>
      <c r="D22" s="10" t="n">
        <v>77057</v>
      </c>
      <c r="E22" s="10" t="n">
        <v>2820</v>
      </c>
    </row>
    <row r="23" customFormat="false" ht="15" hidden="false" customHeight="false" outlineLevel="0" collapsed="false">
      <c r="A23" s="9" t="s">
        <v>44</v>
      </c>
      <c r="B23" s="10" t="n">
        <v>155</v>
      </c>
      <c r="C23" s="10" t="n">
        <v>17</v>
      </c>
      <c r="D23" s="10" t="n">
        <v>77212</v>
      </c>
      <c r="E23" s="10" t="n">
        <v>2837</v>
      </c>
    </row>
    <row r="24" customFormat="false" ht="15" hidden="false" customHeight="false" outlineLevel="0" collapsed="false">
      <c r="A24" s="9" t="s">
        <v>45</v>
      </c>
      <c r="B24" s="10" t="n">
        <v>254</v>
      </c>
      <c r="C24" s="10" t="n">
        <v>10</v>
      </c>
      <c r="D24" s="10" t="n">
        <v>77466</v>
      </c>
      <c r="E24" s="10" t="n">
        <v>2847</v>
      </c>
    </row>
    <row r="25" customFormat="false" ht="15" hidden="false" customHeight="false" outlineLevel="0" collapsed="false">
      <c r="A25" s="9" t="s">
        <v>46</v>
      </c>
      <c r="B25" s="10" t="n">
        <v>211</v>
      </c>
      <c r="C25" s="10" t="n">
        <v>24</v>
      </c>
      <c r="D25" s="10" t="n">
        <v>77677</v>
      </c>
      <c r="E25" s="10" t="n">
        <v>2871</v>
      </c>
    </row>
    <row r="26" customFormat="false" ht="15" hidden="false" customHeight="false" outlineLevel="0" collapsed="false">
      <c r="A26" s="9" t="s">
        <v>47</v>
      </c>
      <c r="B26" s="10" t="n">
        <v>3255</v>
      </c>
      <c r="C26" s="10" t="n">
        <v>65</v>
      </c>
      <c r="D26" s="10" t="n">
        <v>80932</v>
      </c>
      <c r="E26" s="10" t="n">
        <v>2936</v>
      </c>
    </row>
    <row r="27" customFormat="false" ht="15" hidden="false" customHeight="false" outlineLevel="0" collapsed="false">
      <c r="A27" s="9" t="s">
        <v>48</v>
      </c>
      <c r="B27" s="10" t="n">
        <v>8119</v>
      </c>
      <c r="C27" s="10" t="n">
        <v>146</v>
      </c>
      <c r="D27" s="10" t="n">
        <v>89051</v>
      </c>
      <c r="E27" s="10" t="n">
        <v>3082</v>
      </c>
    </row>
    <row r="28" customFormat="false" ht="15" hidden="false" customHeight="false" outlineLevel="0" collapsed="false">
      <c r="A28" s="9" t="s">
        <v>49</v>
      </c>
      <c r="B28" s="10" t="n">
        <v>1601</v>
      </c>
      <c r="C28" s="10" t="n">
        <v>33</v>
      </c>
      <c r="D28" s="10" t="n">
        <v>90652</v>
      </c>
      <c r="E28" s="10" t="n">
        <v>3115</v>
      </c>
    </row>
    <row r="29" customFormat="false" ht="15" hidden="false" customHeight="false" outlineLevel="0" collapsed="false">
      <c r="A29" s="9" t="s">
        <v>50</v>
      </c>
      <c r="B29" s="10" t="n">
        <v>2980</v>
      </c>
      <c r="C29" s="10" t="n">
        <v>2</v>
      </c>
      <c r="D29" s="10" t="n">
        <v>93632</v>
      </c>
      <c r="E29" s="10" t="n">
        <v>3117</v>
      </c>
    </row>
    <row r="30" customFormat="false" ht="15" hidden="false" customHeight="false" outlineLevel="0" collapsed="false">
      <c r="A30" s="9" t="s">
        <v>51</v>
      </c>
      <c r="B30" s="10" t="n">
        <v>1937</v>
      </c>
      <c r="C30" s="10" t="n">
        <v>7</v>
      </c>
      <c r="D30" s="10" t="n">
        <v>95569</v>
      </c>
      <c r="E30" s="10" t="n">
        <v>3124</v>
      </c>
    </row>
    <row r="31" customFormat="false" ht="15" hidden="false" customHeight="false" outlineLevel="0" collapsed="false">
      <c r="A31" s="9" t="s">
        <v>52</v>
      </c>
      <c r="B31" s="10" t="n">
        <v>6413</v>
      </c>
      <c r="C31" s="10" t="n">
        <v>22</v>
      </c>
      <c r="D31" s="10" t="n">
        <v>101982</v>
      </c>
      <c r="E31" s="10" t="n">
        <v>3146</v>
      </c>
    </row>
    <row r="32" customFormat="false" ht="15" hidden="false" customHeight="false" outlineLevel="0" collapsed="false">
      <c r="A32" s="9" t="s">
        <v>53</v>
      </c>
      <c r="B32" s="10" t="n">
        <v>2645</v>
      </c>
      <c r="C32" s="10" t="n">
        <v>34</v>
      </c>
      <c r="D32" s="10" t="n">
        <v>104627</v>
      </c>
      <c r="E32" s="10" t="n">
        <v>3180</v>
      </c>
    </row>
    <row r="33" customFormat="false" ht="15" hidden="false" customHeight="false" outlineLevel="0" collapsed="false">
      <c r="A33" s="9" t="s">
        <v>54</v>
      </c>
      <c r="B33" s="10" t="n">
        <v>477</v>
      </c>
      <c r="C33" s="10" t="n">
        <v>9</v>
      </c>
      <c r="D33" s="10" t="n">
        <v>105104</v>
      </c>
      <c r="E33" s="10" t="n">
        <v>3189</v>
      </c>
    </row>
    <row r="34" customFormat="false" ht="15" hidden="false" customHeight="false" outlineLevel="0" collapsed="false">
      <c r="A34" s="9" t="s">
        <v>55</v>
      </c>
      <c r="B34" s="10" t="n">
        <v>76</v>
      </c>
      <c r="C34" s="10" t="n">
        <v>1</v>
      </c>
      <c r="D34" s="10" t="n">
        <v>105180</v>
      </c>
      <c r="E34" s="10" t="n">
        <v>3190</v>
      </c>
    </row>
    <row r="35" customFormat="false" ht="15" hidden="false" customHeight="false" outlineLevel="0" collapsed="false">
      <c r="A35" s="9" t="s">
        <v>56</v>
      </c>
      <c r="B35" s="10" t="n">
        <v>47</v>
      </c>
      <c r="C35" s="10" t="n">
        <v>4</v>
      </c>
      <c r="D35" s="10" t="n">
        <v>105227</v>
      </c>
      <c r="E35" s="10" t="n">
        <v>3194</v>
      </c>
    </row>
    <row r="36" customFormat="false" ht="15" hidden="false" customHeight="false" outlineLevel="0" collapsed="false">
      <c r="A36" s="9" t="s">
        <v>57</v>
      </c>
      <c r="B36" s="10" t="n">
        <v>715</v>
      </c>
      <c r="C36" s="10" t="n">
        <v>6</v>
      </c>
      <c r="D36" s="10" t="n">
        <v>105942</v>
      </c>
      <c r="E36" s="10" t="n">
        <v>3200</v>
      </c>
    </row>
    <row r="37" customFormat="false" ht="15" hidden="false" customHeight="false" outlineLevel="0" collapsed="false">
      <c r="A37" s="9" t="s">
        <v>58</v>
      </c>
      <c r="B37" s="10" t="n">
        <v>3110</v>
      </c>
      <c r="C37" s="10" t="n">
        <v>20</v>
      </c>
      <c r="D37" s="10" t="n">
        <v>109052</v>
      </c>
      <c r="E37" s="10" t="n">
        <v>3220</v>
      </c>
    </row>
    <row r="38" customFormat="false" ht="15" hidden="false" customHeight="false" outlineLevel="0" collapsed="false">
      <c r="A38" s="9" t="s">
        <v>59</v>
      </c>
      <c r="B38" s="10" t="n">
        <v>1284</v>
      </c>
      <c r="C38" s="10" t="n">
        <v>10</v>
      </c>
      <c r="D38" s="10" t="n">
        <v>110336</v>
      </c>
      <c r="E38" s="10" t="n">
        <v>3230</v>
      </c>
    </row>
    <row r="39" customFormat="false" ht="15" hidden="false" customHeight="false" outlineLevel="0" collapsed="false">
      <c r="A39" s="9" t="s">
        <v>60</v>
      </c>
      <c r="B39" s="10" t="n">
        <v>520</v>
      </c>
      <c r="C39" s="10" t="n">
        <v>4</v>
      </c>
      <c r="D39" s="10" t="n">
        <v>110856</v>
      </c>
      <c r="E39" s="10" t="n">
        <v>3234</v>
      </c>
    </row>
    <row r="40" customFormat="false" ht="15" hidden="false" customHeight="false" outlineLevel="0" collapsed="false">
      <c r="A40" s="9" t="s">
        <v>61</v>
      </c>
      <c r="B40" s="10" t="n">
        <v>554</v>
      </c>
      <c r="C40" s="10" t="n">
        <v>6</v>
      </c>
      <c r="D40" s="10" t="n">
        <v>111410</v>
      </c>
      <c r="E40" s="10" t="n">
        <v>3240</v>
      </c>
    </row>
    <row r="41" customFormat="false" ht="15" hidden="false" customHeight="false" outlineLevel="0" collapsed="false">
      <c r="A41" s="11" t="s">
        <v>19</v>
      </c>
      <c r="B41" s="12" t="n">
        <f aca="false">SUM(B4:B40)</f>
        <v>111410</v>
      </c>
      <c r="C41" s="12" t="n">
        <f aca="false">SUM(C4:C40)</f>
        <v>3240</v>
      </c>
      <c r="D41" s="12" t="n">
        <f aca="false">SUM(D4:D40)</f>
        <v>2345866</v>
      </c>
      <c r="E41" s="12" t="n">
        <f aca="false">SUM(E4:E40)</f>
        <v>75202</v>
      </c>
    </row>
    <row r="43" customFormat="false" ht="30" hidden="false" customHeight="true" outlineLevel="0" collapsed="false">
      <c r="A43" s="13" t="s">
        <v>62</v>
      </c>
      <c r="B43" s="13"/>
      <c r="C43" s="13"/>
      <c r="D43" s="13"/>
      <c r="E43" s="13"/>
    </row>
  </sheetData>
  <mergeCells count="2">
    <mergeCell ref="A1:E1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2026-08-02T02:36:40Z</dcterms:created>
  <dc:creator>openpyxl</dc:creator>
  <dc:description/>
  <dc:language>en-US</dc:language>
  <cp:lastModifiedBy/>
  <dcterms:modified xsi:type="dcterms:W3CDTF">2026-08-02T02:36:40Z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